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986AC634-13F1-41F3-B47F-83CF0D0248B5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tudent Grade" sheetId="1" r:id="rId1"/>
    <sheet name="Sales Data" sheetId="2" r:id="rId2"/>
    <sheet name="Employee Data" sheetId="3" r:id="rId3"/>
  </sheets>
  <definedNames>
    <definedName name="_xlnm._FilterDatabase" localSheetId="0" hidden="1">'Student Grade'!$J$2:$Q$3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I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I2" i="3"/>
  <c r="J2" i="1" a="1"/>
  <c r="J2" i="1"/>
  <c r="I2" i="1"/>
  <c r="H8" i="2"/>
  <c r="G8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17" i="1"/>
  <c r="G18" i="1"/>
  <c r="G19" i="1"/>
  <c r="G20" i="1"/>
  <c r="G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<sst xmlns="http://schemas.openxmlformats.org/spreadsheetml/2006/main" count="156" uniqueCount="100">
  <si>
    <t>Student ID</t>
  </si>
  <si>
    <t>Name</t>
  </si>
  <si>
    <t>Math</t>
  </si>
  <si>
    <t>Science</t>
  </si>
  <si>
    <t>English</t>
  </si>
  <si>
    <t>Enrollment Date</t>
  </si>
  <si>
    <t>Average</t>
  </si>
  <si>
    <t>Grade</t>
  </si>
  <si>
    <t>COUNTIFS&gt;60</t>
  </si>
  <si>
    <t>Top Std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</si>
  <si>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</si>
  <si>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</si>
  <si>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</si>
  <si>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</si>
  <si>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</si>
  <si>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</si>
  <si>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</si>
  <si>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</si>
  <si>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</si>
  <si>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</si>
  <si>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</si>
  <si>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</si>
  <si>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</si>
  <si>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</si>
  <si>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</si>
  <si>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</si>
  <si>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</si>
  <si>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</si>
  <si>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</si>
  <si>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</si>
  <si>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</si>
  <si>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</si>
  <si>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</si>
  <si>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</si>
  <si>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</si>
  <si>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</si>
  <si>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</si>
  <si>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</si>
  <si>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</si>
  <si>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</si>
  <si>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</si>
  <si>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</si>
  <si>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</si>
  <si>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</si>
  <si>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</si>
  <si>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</si>
  <si>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</si>
  <si>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</si>
  <si>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</si>
  <si>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VLOOKUP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</si>
  <si>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</si>
  <si>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</si>
  <si>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</si>
  <si>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</si>
  <si>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</si>
  <si>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</si>
  <si>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</si>
  <si>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</si>
  <si>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</si>
  <si>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</si>
  <si>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Total sale of mouse in east</t>
  </si>
  <si>
    <t>Person 15</t>
  </si>
  <si>
    <t>Total Amount</t>
  </si>
  <si>
    <t>Person 16</t>
  </si>
  <si>
    <t>Person 17</t>
  </si>
  <si>
    <t>Person 18</t>
  </si>
  <si>
    <t>Average sale in west region</t>
  </si>
  <si>
    <t>Person 19</t>
  </si>
  <si>
    <t>Average Amount</t>
  </si>
  <si>
    <t>Person 20</t>
  </si>
  <si>
    <t>Employee ID</t>
  </si>
  <si>
    <t>Department</t>
  </si>
  <si>
    <t>Salary</t>
  </si>
  <si>
    <t>Joining Date</t>
  </si>
  <si>
    <t>Days in Company</t>
  </si>
  <si>
    <t>Year in Company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</si>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</sst>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horizontal="center" readingOrder="1"/>
    </xf>
    <xf numFmtId="0" fontId="2" fillId="0" borderId="4" xfId="0" applyFont="1" applyBorder="1" applyAlignment="1">
      <alignment horizontal="center" readingOrder="1"/>
    </xf>
    <xf numFmtId="22" fontId="2" fillId="0" borderId="4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14" fontId="2" fillId="0" borderId="4" xfId="0" applyNumberFormat="1" applyFont="1" applyBorder="1" applyAlignment="1">
      <alignment horizontal="center" readingOrder="1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164" fontId="2" fillId="0" borderId="4" xfId="0" applyNumberFormat="1" applyFont="1" applyBorder="1" applyAlignment="1">
      <alignment horizontal="center" readingOrder="1"/>
    </xf>
    <xf numFmtId="0" fontId="0" fillId="0" borderId="0" xfId="0" applyNumberFormat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0" fillId="0" borderId="0" xfId="0" applyAlignment="1"/>
    <xf numFmtId="0" fontId="3" fillId="3" borderId="0" xfId="0" applyFont="1" applyFill="1" applyAlignment="1"/>
    <xf numFmtId="0" fontId="0" fillId="4" borderId="0" xfId="0" applyFill="1" applyAlignment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topLeftCell="G1" workbookViewId="0">
      <selection activeCell="A25" sqref="A25"/>
    </sheetView>
  </sheetViews>
  <sheetFormatPr defaultRowHeight="15"/>
  <cols>
    <col min="1" max="1" width="10.28515625" bestFit="1" customWidth="1"/>
    <col min="2" max="2" width="10.42578125" bestFit="1" customWidth="1"/>
    <col min="6" max="6" width="15.5703125" bestFit="1" customWidth="1"/>
    <col min="8" max="8" width="8" customWidth="1"/>
    <col min="9" max="9" width="13.140625" bestFit="1" customWidth="1"/>
    <col min="10" max="10" width="13" customWidth="1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7" t="s">
        <v>7</v>
      </c>
      <c r="I1" s="15" t="s">
        <v>8</v>
      </c>
      <c r="J1" s="16" t="s">
        <v>9</v>
      </c>
    </row>
    <row r="2" spans="1:17">
      <c r="A2" s="3">
        <v>1001</v>
      </c>
      <c r="B2" s="4" t="s">
        <v>10</v>
      </c>
      <c r="C2" s="4">
        <v>61</v>
      </c>
      <c r="D2" s="4">
        <v>48</v>
      </c>
      <c r="E2" s="4">
        <v>76</v>
      </c>
      <c r="F2" s="5">
        <v>43101</v>
      </c>
      <c r="G2" s="6">
        <f>AVERAGE(C2:E2)</f>
        <v>61.666666666666664</v>
      </c>
      <c r="H2" s="6" t="str">
        <f>IF(G2&gt;=80,"A", IF(G2&gt;=60,"B","C"))</f>
        <v>B</v>
      </c>
      <c r="I2">
        <f>COUNTIF(C2:C21,"&gt;60")</f>
        <v>19</v>
      </c>
      <c r="J2" s="17" cm="1">
        <f t="array" ref="J2:Q3">_xlfn._xlws.FILTER(A2:H21,G2:G21&gt;80,"NO MATCH")</f>
        <v>1012</v>
      </c>
      <c r="K2" t="str">
        <v>Student 12</v>
      </c>
      <c r="L2">
        <v>85</v>
      </c>
      <c r="M2">
        <v>89</v>
      </c>
      <c r="N2">
        <v>79</v>
      </c>
      <c r="O2">
        <v>45081</v>
      </c>
      <c r="P2">
        <v>84.333333333333329</v>
      </c>
      <c r="Q2" t="str">
        <v>A</v>
      </c>
    </row>
    <row r="3" spans="1:17">
      <c r="A3" s="3">
        <v>1002</v>
      </c>
      <c r="B3" s="4" t="s">
        <v>11</v>
      </c>
      <c r="C3" s="4">
        <v>78</v>
      </c>
      <c r="D3" s="4">
        <v>76</v>
      </c>
      <c r="E3" s="4">
        <v>70</v>
      </c>
      <c r="F3" s="5">
        <v>43281</v>
      </c>
      <c r="G3" s="6">
        <f t="shared" ref="G3:G15" si="0">AVERAGE(C3:E3)</f>
        <v>74.666666666666671</v>
      </c>
      <c r="H3" s="6" t="str">
        <f t="shared" ref="H3:H21" si="1">IF(G3&gt;=80,"A", IF(G3&gt;=60,"B","C"))</f>
        <v>B</v>
      </c>
      <c r="J3">
        <v>1013</v>
      </c>
      <c r="K3" t="str">
        <v>Student 13</v>
      </c>
      <c r="L3">
        <v>98</v>
      </c>
      <c r="M3">
        <v>90</v>
      </c>
      <c r="N3">
        <v>97</v>
      </c>
      <c r="O3">
        <v>45261</v>
      </c>
      <c r="P3">
        <v>95</v>
      </c>
      <c r="Q3" t="str">
        <v>A</v>
      </c>
    </row>
    <row r="4" spans="1:17">
      <c r="A4" s="3">
        <v>1003</v>
      </c>
      <c r="B4" s="4" t="s">
        <v>12</v>
      </c>
      <c r="C4" s="4">
        <v>97</v>
      </c>
      <c r="D4" s="4">
        <v>60</v>
      </c>
      <c r="E4" s="4">
        <v>51</v>
      </c>
      <c r="F4" s="5">
        <v>43461</v>
      </c>
      <c r="G4" s="6">
        <f t="shared" si="0"/>
        <v>69.333333333333329</v>
      </c>
      <c r="H4" s="6" t="str">
        <f t="shared" si="1"/>
        <v>B</v>
      </c>
    </row>
    <row r="5" spans="1:17">
      <c r="A5" s="3">
        <v>1004</v>
      </c>
      <c r="B5" s="4" t="s">
        <v>13</v>
      </c>
      <c r="C5" s="4">
        <v>74</v>
      </c>
      <c r="D5" s="4">
        <v>55</v>
      </c>
      <c r="E5" s="4">
        <v>46</v>
      </c>
      <c r="F5" s="5">
        <v>43641</v>
      </c>
      <c r="G5" s="6">
        <f t="shared" si="0"/>
        <v>58.333333333333336</v>
      </c>
      <c r="H5" s="6" t="str">
        <f t="shared" si="1"/>
        <v>C</v>
      </c>
    </row>
    <row r="6" spans="1:17">
      <c r="A6" s="3">
        <v>1005</v>
      </c>
      <c r="B6" s="4" t="s">
        <v>14</v>
      </c>
      <c r="C6" s="4">
        <v>68</v>
      </c>
      <c r="D6" s="4">
        <v>74</v>
      </c>
      <c r="E6" s="4">
        <v>84</v>
      </c>
      <c r="F6" s="5">
        <v>43821</v>
      </c>
      <c r="G6" s="6">
        <f t="shared" si="0"/>
        <v>75.333333333333329</v>
      </c>
      <c r="H6" s="6" t="str">
        <f t="shared" si="1"/>
        <v>B</v>
      </c>
    </row>
    <row r="7" spans="1:17">
      <c r="A7" s="3">
        <v>1006</v>
      </c>
      <c r="B7" s="4" t="s">
        <v>15</v>
      </c>
      <c r="C7" s="4">
        <v>80</v>
      </c>
      <c r="D7" s="4">
        <v>70</v>
      </c>
      <c r="E7" s="4">
        <v>65</v>
      </c>
      <c r="F7" s="5">
        <v>44001</v>
      </c>
      <c r="G7" s="6">
        <f t="shared" si="0"/>
        <v>71.666666666666671</v>
      </c>
      <c r="H7" s="6" t="str">
        <f t="shared" si="1"/>
        <v>B</v>
      </c>
      <c r="J7" s="8"/>
    </row>
    <row r="8" spans="1:17">
      <c r="A8" s="3">
        <v>1007</v>
      </c>
      <c r="B8" s="4" t="s">
        <v>16</v>
      </c>
      <c r="C8" s="4">
        <v>75</v>
      </c>
      <c r="D8" s="4">
        <v>47</v>
      </c>
      <c r="E8" s="4">
        <v>78</v>
      </c>
      <c r="F8" s="5">
        <v>44181</v>
      </c>
      <c r="G8" s="6">
        <f t="shared" si="0"/>
        <v>66.666666666666671</v>
      </c>
      <c r="H8" s="6" t="str">
        <f t="shared" si="1"/>
        <v>B</v>
      </c>
    </row>
    <row r="9" spans="1:17">
      <c r="A9" s="3">
        <v>1008</v>
      </c>
      <c r="B9" s="4" t="s">
        <v>17</v>
      </c>
      <c r="C9" s="4">
        <v>94</v>
      </c>
      <c r="D9" s="4">
        <v>67</v>
      </c>
      <c r="E9" s="4">
        <v>64</v>
      </c>
      <c r="F9" s="5">
        <v>44361</v>
      </c>
      <c r="G9" s="6">
        <f t="shared" si="0"/>
        <v>75</v>
      </c>
      <c r="H9" s="6" t="str">
        <f t="shared" si="1"/>
        <v>B</v>
      </c>
    </row>
    <row r="10" spans="1:17">
      <c r="A10" s="3">
        <v>1009</v>
      </c>
      <c r="B10" s="4" t="s">
        <v>18</v>
      </c>
      <c r="C10" s="4">
        <v>41</v>
      </c>
      <c r="D10" s="4">
        <v>75</v>
      </c>
      <c r="E10" s="4">
        <v>56</v>
      </c>
      <c r="F10" s="5">
        <v>44541</v>
      </c>
      <c r="G10" s="6">
        <f t="shared" si="0"/>
        <v>57.333333333333336</v>
      </c>
      <c r="H10" s="6" t="str">
        <f t="shared" si="1"/>
        <v>C</v>
      </c>
    </row>
    <row r="11" spans="1:17">
      <c r="A11" s="3">
        <v>1010</v>
      </c>
      <c r="B11" s="4" t="s">
        <v>19</v>
      </c>
      <c r="C11" s="4">
        <v>98</v>
      </c>
      <c r="D11" s="4">
        <v>54</v>
      </c>
      <c r="E11" s="4">
        <v>58</v>
      </c>
      <c r="F11" s="5">
        <v>44721</v>
      </c>
      <c r="G11" s="6">
        <f t="shared" si="0"/>
        <v>70</v>
      </c>
      <c r="H11" s="6" t="str">
        <f t="shared" si="1"/>
        <v>B</v>
      </c>
    </row>
    <row r="12" spans="1:17">
      <c r="A12" s="3">
        <v>1011</v>
      </c>
      <c r="B12" s="4" t="s">
        <v>20</v>
      </c>
      <c r="C12" s="4">
        <v>73</v>
      </c>
      <c r="D12" s="4">
        <v>79</v>
      </c>
      <c r="E12" s="4">
        <v>53</v>
      </c>
      <c r="F12" s="5">
        <v>44901</v>
      </c>
      <c r="G12" s="6">
        <f t="shared" si="0"/>
        <v>68.333333333333329</v>
      </c>
      <c r="H12" s="6" t="str">
        <f t="shared" si="1"/>
        <v>B</v>
      </c>
    </row>
    <row r="13" spans="1:17">
      <c r="A13" s="3">
        <v>1012</v>
      </c>
      <c r="B13" s="4" t="s">
        <v>21</v>
      </c>
      <c r="C13" s="4">
        <v>85</v>
      </c>
      <c r="D13" s="4">
        <v>89</v>
      </c>
      <c r="E13" s="4">
        <v>79</v>
      </c>
      <c r="F13" s="5">
        <v>45081</v>
      </c>
      <c r="G13" s="6">
        <f t="shared" si="0"/>
        <v>84.333333333333329</v>
      </c>
      <c r="H13" s="6" t="str">
        <f t="shared" si="1"/>
        <v>A</v>
      </c>
    </row>
    <row r="14" spans="1:17">
      <c r="A14" s="3">
        <v>1013</v>
      </c>
      <c r="B14" s="4" t="s">
        <v>22</v>
      </c>
      <c r="C14" s="4">
        <v>98</v>
      </c>
      <c r="D14" s="4">
        <v>90</v>
      </c>
      <c r="E14" s="4">
        <v>97</v>
      </c>
      <c r="F14" s="5">
        <v>45261</v>
      </c>
      <c r="G14" s="6">
        <f t="shared" si="0"/>
        <v>95</v>
      </c>
      <c r="H14" s="6" t="str">
        <f t="shared" si="1"/>
        <v>A</v>
      </c>
    </row>
    <row r="15" spans="1:17">
      <c r="A15" s="3">
        <v>1014</v>
      </c>
      <c r="B15" s="4" t="s">
        <v>23</v>
      </c>
      <c r="C15" s="4">
        <v>93</v>
      </c>
      <c r="D15" s="4">
        <v>40</v>
      </c>
      <c r="E15" s="4">
        <v>44</v>
      </c>
      <c r="F15" s="5">
        <v>45441</v>
      </c>
      <c r="G15" s="6">
        <f t="shared" si="0"/>
        <v>59</v>
      </c>
      <c r="H15" s="6" t="str">
        <f t="shared" si="1"/>
        <v>C</v>
      </c>
    </row>
    <row r="16" spans="1:17">
      <c r="A16" s="3">
        <v>1015</v>
      </c>
      <c r="B16" s="4" t="s">
        <v>24</v>
      </c>
      <c r="C16" s="4">
        <v>70</v>
      </c>
      <c r="D16" s="4">
        <v>51</v>
      </c>
      <c r="E16" s="4">
        <v>75</v>
      </c>
      <c r="F16" s="5">
        <v>45621</v>
      </c>
      <c r="G16" s="6">
        <f t="shared" ref="G16:G21" si="2">AVERAGE(C16:E16)</f>
        <v>65.333333333333329</v>
      </c>
      <c r="H16" s="6" t="str">
        <f t="shared" si="1"/>
        <v>B</v>
      </c>
    </row>
    <row r="17" spans="1:8">
      <c r="A17" s="3">
        <v>1016</v>
      </c>
      <c r="B17" s="4" t="s">
        <v>25</v>
      </c>
      <c r="C17" s="4">
        <v>98</v>
      </c>
      <c r="D17" s="4">
        <v>77</v>
      </c>
      <c r="E17" s="4">
        <v>60</v>
      </c>
      <c r="F17" s="5">
        <v>45801</v>
      </c>
      <c r="G17" s="6">
        <f t="shared" si="2"/>
        <v>78.333333333333329</v>
      </c>
      <c r="H17" s="6" t="str">
        <f t="shared" si="1"/>
        <v>B</v>
      </c>
    </row>
    <row r="18" spans="1:8">
      <c r="A18" s="3">
        <v>1017</v>
      </c>
      <c r="B18" s="4" t="s">
        <v>26</v>
      </c>
      <c r="C18" s="4">
        <v>66</v>
      </c>
      <c r="D18" s="4">
        <v>59</v>
      </c>
      <c r="E18" s="4">
        <v>40</v>
      </c>
      <c r="F18" s="5">
        <v>45981</v>
      </c>
      <c r="G18" s="6">
        <f t="shared" si="2"/>
        <v>55</v>
      </c>
      <c r="H18" s="6" t="str">
        <f t="shared" si="1"/>
        <v>C</v>
      </c>
    </row>
    <row r="19" spans="1:8">
      <c r="A19" s="3">
        <v>1018</v>
      </c>
      <c r="B19" s="4" t="s">
        <v>27</v>
      </c>
      <c r="C19" s="4">
        <v>82</v>
      </c>
      <c r="D19" s="4">
        <v>48</v>
      </c>
      <c r="E19" s="4">
        <v>79</v>
      </c>
      <c r="F19" s="5">
        <v>46161</v>
      </c>
      <c r="G19" s="6">
        <f t="shared" si="2"/>
        <v>69.666666666666671</v>
      </c>
      <c r="H19" s="6" t="str">
        <f t="shared" si="1"/>
        <v>B</v>
      </c>
    </row>
    <row r="20" spans="1:8">
      <c r="A20" s="3">
        <v>1019</v>
      </c>
      <c r="B20" s="4" t="s">
        <v>28</v>
      </c>
      <c r="C20" s="4">
        <v>90</v>
      </c>
      <c r="D20" s="4">
        <v>78</v>
      </c>
      <c r="E20" s="4">
        <v>60</v>
      </c>
      <c r="F20" s="5">
        <v>46341</v>
      </c>
      <c r="G20" s="6">
        <f t="shared" si="2"/>
        <v>76</v>
      </c>
      <c r="H20" s="6" t="str">
        <f t="shared" si="1"/>
        <v>B</v>
      </c>
    </row>
    <row r="21" spans="1:8">
      <c r="A21" s="3">
        <v>1020</v>
      </c>
      <c r="B21" s="4" t="s">
        <v>29</v>
      </c>
      <c r="C21" s="4">
        <v>83</v>
      </c>
      <c r="D21" s="4">
        <v>92</v>
      </c>
      <c r="E21" s="4">
        <v>55</v>
      </c>
      <c r="F21" s="5">
        <v>46521</v>
      </c>
      <c r="G21" s="6">
        <f t="shared" si="2"/>
        <v>76.666666666666671</v>
      </c>
      <c r="H21" s="6" t="str">
        <f t="shared" si="1"/>
        <v>B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F693-7C8C-40CB-A770-960EB63424A6}">
  <dimension ref="A1:J22"/>
  <sheetViews>
    <sheetView topLeftCell="A5" workbookViewId="0">
      <selection activeCell="H8" sqref="H8"/>
    </sheetView>
  </sheetViews>
  <sheetFormatPr defaultRowHeight="15"/>
  <cols>
    <col min="4" max="4" width="11.5703125" bestFit="1" customWidth="1"/>
    <col min="5" max="5" width="12.140625" bestFit="1" customWidth="1"/>
    <col min="6" max="6" width="15.5703125" bestFit="1" customWidth="1"/>
    <col min="7" max="7" width="16.7109375" customWidth="1"/>
    <col min="8" max="8" width="25.28515625" bestFit="1" customWidth="1"/>
    <col min="9" max="9" width="14.140625" bestFit="1" customWidth="1"/>
    <col min="10" max="10" width="12.85546875" customWidth="1"/>
  </cols>
  <sheetData>
    <row r="1" spans="1:10">
      <c r="A1" s="11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2" t="s">
        <v>35</v>
      </c>
      <c r="H1" s="23"/>
      <c r="I1" s="23"/>
      <c r="J1" s="23"/>
    </row>
    <row r="2" spans="1:10">
      <c r="A2" s="3">
        <v>2001</v>
      </c>
      <c r="B2" s="4" t="s">
        <v>36</v>
      </c>
      <c r="C2" s="4" t="s">
        <v>37</v>
      </c>
      <c r="D2" s="4" t="s">
        <v>38</v>
      </c>
      <c r="E2" s="13">
        <v>7048</v>
      </c>
      <c r="F2" s="9">
        <v>44927</v>
      </c>
      <c r="G2" s="6"/>
      <c r="H2" s="10"/>
      <c r="I2" s="6"/>
      <c r="J2" s="10"/>
    </row>
    <row r="3" spans="1:10">
      <c r="A3" s="3">
        <v>2002</v>
      </c>
      <c r="B3" s="4" t="s">
        <v>39</v>
      </c>
      <c r="C3" s="4" t="s">
        <v>40</v>
      </c>
      <c r="D3" s="4" t="s">
        <v>41</v>
      </c>
      <c r="E3" s="13">
        <v>17428</v>
      </c>
      <c r="F3" s="9">
        <v>44942</v>
      </c>
      <c r="G3" s="6"/>
      <c r="H3" s="10"/>
      <c r="I3" s="6"/>
      <c r="J3" s="10"/>
    </row>
    <row r="4" spans="1:10">
      <c r="A4" s="3">
        <v>2003</v>
      </c>
      <c r="B4" s="4" t="s">
        <v>42</v>
      </c>
      <c r="C4" s="4" t="s">
        <v>37</v>
      </c>
      <c r="D4" s="4" t="s">
        <v>43</v>
      </c>
      <c r="E4" s="13">
        <v>23672</v>
      </c>
      <c r="F4" s="9">
        <v>44957</v>
      </c>
      <c r="G4" s="6"/>
      <c r="H4" s="10"/>
      <c r="I4" s="6"/>
      <c r="J4" s="10"/>
    </row>
    <row r="5" spans="1:10">
      <c r="A5" s="3">
        <v>2004</v>
      </c>
      <c r="B5" s="4" t="s">
        <v>39</v>
      </c>
      <c r="C5" s="4" t="s">
        <v>44</v>
      </c>
      <c r="D5" s="4" t="s">
        <v>45</v>
      </c>
      <c r="E5" s="13">
        <v>5264</v>
      </c>
      <c r="F5" s="9">
        <v>44972</v>
      </c>
      <c r="G5" s="6"/>
      <c r="H5" s="10"/>
      <c r="I5" s="6"/>
      <c r="J5" s="10"/>
    </row>
    <row r="6" spans="1:10">
      <c r="A6" s="3">
        <v>2005</v>
      </c>
      <c r="B6" s="4" t="s">
        <v>36</v>
      </c>
      <c r="C6" s="4" t="s">
        <v>46</v>
      </c>
      <c r="D6" s="4" t="s">
        <v>47</v>
      </c>
      <c r="E6" s="13">
        <v>43388</v>
      </c>
      <c r="F6" s="9">
        <v>44987</v>
      </c>
      <c r="G6" s="6"/>
      <c r="H6" s="6"/>
      <c r="I6" s="6"/>
      <c r="J6" s="6"/>
    </row>
    <row r="7" spans="1:10">
      <c r="A7" s="3">
        <v>2006</v>
      </c>
      <c r="B7" s="4" t="s">
        <v>42</v>
      </c>
      <c r="C7" s="4" t="s">
        <v>46</v>
      </c>
      <c r="D7" s="4" t="s">
        <v>48</v>
      </c>
      <c r="E7" s="13">
        <v>19757</v>
      </c>
      <c r="F7" s="9">
        <v>45002</v>
      </c>
      <c r="G7" s="7" t="s">
        <v>49</v>
      </c>
      <c r="H7" s="6"/>
      <c r="I7" s="6"/>
      <c r="J7" s="6"/>
    </row>
    <row r="8" spans="1:10">
      <c r="A8" s="3">
        <v>2007</v>
      </c>
      <c r="B8" s="4" t="s">
        <v>42</v>
      </c>
      <c r="C8" s="4" t="s">
        <v>44</v>
      </c>
      <c r="D8" s="4" t="s">
        <v>50</v>
      </c>
      <c r="E8" s="13">
        <v>32058</v>
      </c>
      <c r="F8" s="9">
        <v>45017</v>
      </c>
      <c r="G8" s="6" t="str">
        <f>VLOOKUP(2015,A2:F21,2,FALSE)</f>
        <v>Laptop</v>
      </c>
      <c r="H8" s="6">
        <f>INDEX(E2:E21,MATCH("Person 12",D2:D21,0))</f>
        <v>35611</v>
      </c>
      <c r="I8" s="6"/>
      <c r="J8" s="6"/>
    </row>
    <row r="9" spans="1:10">
      <c r="A9" s="3">
        <v>2008</v>
      </c>
      <c r="B9" s="4" t="s">
        <v>36</v>
      </c>
      <c r="C9" s="4" t="s">
        <v>44</v>
      </c>
      <c r="D9" s="4" t="s">
        <v>51</v>
      </c>
      <c r="E9" s="13">
        <v>46429</v>
      </c>
      <c r="F9" s="9">
        <v>45032</v>
      </c>
      <c r="G9" s="6"/>
      <c r="H9" s="6"/>
      <c r="I9" s="6"/>
      <c r="J9" s="6"/>
    </row>
    <row r="10" spans="1:10">
      <c r="A10" s="3">
        <v>2009</v>
      </c>
      <c r="B10" s="4" t="s">
        <v>39</v>
      </c>
      <c r="C10" s="4" t="s">
        <v>44</v>
      </c>
      <c r="D10" s="4" t="s">
        <v>52</v>
      </c>
      <c r="E10" s="13">
        <v>19746</v>
      </c>
      <c r="F10" s="9">
        <v>45047</v>
      </c>
      <c r="G10" s="6"/>
      <c r="H10" s="6"/>
      <c r="I10" s="6"/>
      <c r="J10" s="6"/>
    </row>
    <row r="11" spans="1:10">
      <c r="A11" s="3">
        <v>2010</v>
      </c>
      <c r="B11" s="4" t="s">
        <v>36</v>
      </c>
      <c r="C11" s="4" t="s">
        <v>37</v>
      </c>
      <c r="D11" s="4" t="s">
        <v>53</v>
      </c>
      <c r="E11" s="13">
        <v>35185</v>
      </c>
      <c r="F11" s="9">
        <v>45062</v>
      </c>
      <c r="G11" s="6"/>
      <c r="H11" s="6"/>
      <c r="I11" s="6"/>
      <c r="J11" s="6"/>
    </row>
    <row r="12" spans="1:10">
      <c r="A12" s="3">
        <v>2011</v>
      </c>
      <c r="B12" s="4" t="s">
        <v>36</v>
      </c>
      <c r="C12" s="4" t="s">
        <v>44</v>
      </c>
      <c r="D12" s="4" t="s">
        <v>54</v>
      </c>
      <c r="E12" s="13">
        <v>33920</v>
      </c>
      <c r="F12" s="9">
        <v>45077</v>
      </c>
      <c r="G12" s="6"/>
      <c r="H12" s="6"/>
      <c r="I12" s="6"/>
      <c r="J12" s="6"/>
    </row>
    <row r="13" spans="1:10">
      <c r="A13" s="3">
        <v>2012</v>
      </c>
      <c r="B13" s="4" t="s">
        <v>55</v>
      </c>
      <c r="C13" s="4" t="s">
        <v>46</v>
      </c>
      <c r="D13" s="4" t="s">
        <v>56</v>
      </c>
      <c r="E13" s="13">
        <v>35611</v>
      </c>
      <c r="F13" s="9">
        <v>45092</v>
      </c>
      <c r="G13" s="6"/>
      <c r="H13" s="6"/>
      <c r="J13" s="6"/>
    </row>
    <row r="14" spans="1:10">
      <c r="A14" s="3">
        <v>2013</v>
      </c>
      <c r="B14" s="4" t="s">
        <v>57</v>
      </c>
      <c r="C14" s="4" t="s">
        <v>44</v>
      </c>
      <c r="D14" s="4" t="s">
        <v>58</v>
      </c>
      <c r="E14" s="13">
        <v>15560</v>
      </c>
      <c r="F14" s="9">
        <v>45107</v>
      </c>
      <c r="G14" s="6"/>
      <c r="H14" s="6"/>
      <c r="I14" s="6"/>
      <c r="J14" s="6"/>
    </row>
    <row r="15" spans="1:10">
      <c r="A15" s="3">
        <v>2014</v>
      </c>
      <c r="B15" s="4" t="s">
        <v>57</v>
      </c>
      <c r="C15" s="4" t="s">
        <v>37</v>
      </c>
      <c r="D15" s="4" t="s">
        <v>59</v>
      </c>
      <c r="E15" s="13">
        <v>7283</v>
      </c>
      <c r="F15" s="9">
        <v>45122</v>
      </c>
      <c r="G15" s="20"/>
      <c r="H15" s="21" t="s">
        <v>60</v>
      </c>
      <c r="I15" s="22"/>
      <c r="J15" s="20"/>
    </row>
    <row r="16" spans="1:10">
      <c r="A16" s="3">
        <v>2015</v>
      </c>
      <c r="B16" s="4" t="s">
        <v>57</v>
      </c>
      <c r="C16" s="4" t="s">
        <v>44</v>
      </c>
      <c r="D16" s="4" t="s">
        <v>61</v>
      </c>
      <c r="E16" s="13">
        <v>15678</v>
      </c>
      <c r="F16" s="9">
        <v>45137</v>
      </c>
      <c r="G16" s="6" t="s">
        <v>31</v>
      </c>
      <c r="H16" s="6" t="s">
        <v>32</v>
      </c>
      <c r="I16" t="s">
        <v>62</v>
      </c>
      <c r="J16" s="6"/>
    </row>
    <row r="17" spans="1:9">
      <c r="A17" s="3">
        <v>2016</v>
      </c>
      <c r="B17" s="4" t="s">
        <v>42</v>
      </c>
      <c r="C17" s="4" t="s">
        <v>44</v>
      </c>
      <c r="D17" s="4" t="s">
        <v>63</v>
      </c>
      <c r="E17" s="13">
        <v>5277</v>
      </c>
      <c r="F17" s="9">
        <v>45152</v>
      </c>
      <c r="G17" s="6" t="s">
        <v>42</v>
      </c>
      <c r="H17" s="6" t="s">
        <v>44</v>
      </c>
      <c r="I17" s="6">
        <f>SUMIFS(E2:E21,B2:B21,G17,C2:C21,H17)</f>
        <v>37335</v>
      </c>
    </row>
    <row r="18" spans="1:9">
      <c r="A18" s="3">
        <v>2017</v>
      </c>
      <c r="B18" s="4" t="s">
        <v>55</v>
      </c>
      <c r="C18" s="4" t="s">
        <v>46</v>
      </c>
      <c r="D18" s="4" t="s">
        <v>64</v>
      </c>
      <c r="E18" s="13">
        <v>41871</v>
      </c>
      <c r="F18" s="9">
        <v>45167</v>
      </c>
    </row>
    <row r="19" spans="1:9">
      <c r="A19" s="3">
        <v>2018</v>
      </c>
      <c r="B19" s="4" t="s">
        <v>55</v>
      </c>
      <c r="C19" s="4" t="s">
        <v>40</v>
      </c>
      <c r="D19" s="4" t="s">
        <v>65</v>
      </c>
      <c r="E19" s="13">
        <v>38161</v>
      </c>
      <c r="F19" s="9">
        <v>45182</v>
      </c>
      <c r="H19" s="16" t="s">
        <v>66</v>
      </c>
    </row>
    <row r="20" spans="1:9">
      <c r="A20" s="3">
        <v>2019</v>
      </c>
      <c r="B20" s="4" t="s">
        <v>42</v>
      </c>
      <c r="C20" s="4" t="s">
        <v>40</v>
      </c>
      <c r="D20" s="4" t="s">
        <v>67</v>
      </c>
      <c r="E20" s="13">
        <v>30436</v>
      </c>
      <c r="F20" s="9">
        <v>45197</v>
      </c>
      <c r="G20" s="6" t="s">
        <v>32</v>
      </c>
      <c r="H20" s="6" t="s">
        <v>68</v>
      </c>
    </row>
    <row r="21" spans="1:9">
      <c r="A21" s="3">
        <v>2020</v>
      </c>
      <c r="B21" s="4" t="s">
        <v>39</v>
      </c>
      <c r="C21" s="4" t="s">
        <v>40</v>
      </c>
      <c r="D21" s="4" t="s">
        <v>69</v>
      </c>
      <c r="E21" s="13">
        <v>33953</v>
      </c>
      <c r="F21" s="9">
        <v>45212</v>
      </c>
      <c r="G21" s="6" t="s">
        <v>40</v>
      </c>
      <c r="H21" s="6">
        <f>AVERAGEIFS(E2:E21,C2:C21,G21)</f>
        <v>29994.5</v>
      </c>
    </row>
    <row r="22" spans="1:9">
      <c r="A22" s="6"/>
      <c r="B22" s="6"/>
      <c r="C22" s="6"/>
      <c r="D22" s="6"/>
      <c r="E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C814-97AA-4B49-B398-5FF11A5CD267}">
  <dimension ref="A1:I21"/>
  <sheetViews>
    <sheetView workbookViewId="0">
      <selection activeCell="E32" sqref="E32"/>
    </sheetView>
  </sheetViews>
  <sheetFormatPr defaultRowHeight="15"/>
  <cols>
    <col min="1" max="1" width="12" bestFit="1" customWidth="1"/>
    <col min="2" max="2" width="12.140625" bestFit="1" customWidth="1"/>
    <col min="3" max="3" width="11.7109375" bestFit="1" customWidth="1"/>
    <col min="4" max="4" width="13.140625" bestFit="1" customWidth="1"/>
    <col min="5" max="5" width="15.5703125" bestFit="1" customWidth="1"/>
    <col min="6" max="6" width="21.5703125" bestFit="1" customWidth="1"/>
    <col min="7" max="7" width="15.5703125" customWidth="1"/>
    <col min="8" max="8" width="15.5703125" bestFit="1" customWidth="1"/>
  </cols>
  <sheetData>
    <row r="1" spans="1:9">
      <c r="A1" s="11" t="s">
        <v>70</v>
      </c>
      <c r="B1" s="12" t="s">
        <v>1</v>
      </c>
      <c r="C1" s="12" t="s">
        <v>71</v>
      </c>
      <c r="D1" s="12" t="s">
        <v>72</v>
      </c>
      <c r="E1" s="12" t="s">
        <v>73</v>
      </c>
      <c r="F1" s="18" t="s">
        <v>74</v>
      </c>
      <c r="G1" s="18" t="s">
        <v>75</v>
      </c>
      <c r="H1" s="7" t="s">
        <v>70</v>
      </c>
      <c r="I1" s="7" t="s">
        <v>72</v>
      </c>
    </row>
    <row r="2" spans="1:9">
      <c r="A2" s="3">
        <v>3001</v>
      </c>
      <c r="B2" s="4" t="s">
        <v>76</v>
      </c>
      <c r="C2" s="4" t="s">
        <v>77</v>
      </c>
      <c r="D2" s="13">
        <v>86766</v>
      </c>
      <c r="E2" s="5">
        <v>42005</v>
      </c>
      <c r="F2" s="14">
        <f ca="1">IF(E2&lt;=TODAY(),TODAY()-E2,"NOT JOINED YET")</f>
        <v>4030</v>
      </c>
      <c r="G2">
        <f ca="1">IF(E2&lt;=TODAY(),DATEDIF(E2,TODAY(),"Y"),"NOT JOINED YET")</f>
        <v>11</v>
      </c>
      <c r="H2" s="6">
        <v>3005</v>
      </c>
      <c r="I2" s="14">
        <f>_xlfn.XLOOKUP(H2,A2:A21,D2:D21,"NOT FOUND")</f>
        <v>54149</v>
      </c>
    </row>
    <row r="3" spans="1:9">
      <c r="A3" s="3">
        <v>3002</v>
      </c>
      <c r="B3" s="4" t="s">
        <v>78</v>
      </c>
      <c r="C3" s="4" t="s">
        <v>77</v>
      </c>
      <c r="D3" s="13">
        <v>31943</v>
      </c>
      <c r="E3" s="5">
        <v>42255</v>
      </c>
      <c r="F3" s="14">
        <f t="shared" ref="F3:F21" ca="1" si="0">IF(E3&lt;=TODAY(),TODAY()-E3,"NOT JOINED YET")</f>
        <v>3780</v>
      </c>
      <c r="G3">
        <f t="shared" ref="G3:G21" ca="1" si="1">IF(E3&lt;=TODAY(),DATEDIF(E3,TODAY(),"Y"),"NOT JOINED YET")</f>
        <v>10</v>
      </c>
      <c r="H3" s="6"/>
      <c r="I3" s="14"/>
    </row>
    <row r="4" spans="1:9">
      <c r="A4" s="3">
        <v>3003</v>
      </c>
      <c r="B4" s="4" t="s">
        <v>79</v>
      </c>
      <c r="C4" s="4" t="s">
        <v>80</v>
      </c>
      <c r="D4" s="13">
        <v>63374</v>
      </c>
      <c r="E4" s="5">
        <v>42505</v>
      </c>
      <c r="F4" s="14">
        <f t="shared" ca="1" si="0"/>
        <v>3530</v>
      </c>
      <c r="G4">
        <f t="shared" ca="1" si="1"/>
        <v>9</v>
      </c>
      <c r="H4" s="6"/>
      <c r="I4" s="6"/>
    </row>
    <row r="5" spans="1:9">
      <c r="A5" s="3">
        <v>3004</v>
      </c>
      <c r="B5" s="4" t="s">
        <v>81</v>
      </c>
      <c r="C5" s="4" t="s">
        <v>77</v>
      </c>
      <c r="D5" s="13">
        <v>109972</v>
      </c>
      <c r="E5" s="5">
        <v>42755</v>
      </c>
      <c r="F5" s="14">
        <f t="shared" ca="1" si="0"/>
        <v>3280</v>
      </c>
      <c r="G5">
        <f t="shared" ca="1" si="1"/>
        <v>8</v>
      </c>
      <c r="H5" s="6"/>
      <c r="I5" s="6"/>
    </row>
    <row r="6" spans="1:9">
      <c r="A6" s="3">
        <v>3005</v>
      </c>
      <c r="B6" s="4" t="s">
        <v>82</v>
      </c>
      <c r="C6" s="4" t="s">
        <v>83</v>
      </c>
      <c r="D6" s="13">
        <v>54149</v>
      </c>
      <c r="E6" s="5">
        <v>43005</v>
      </c>
      <c r="F6" s="14">
        <f t="shared" ca="1" si="0"/>
        <v>3030</v>
      </c>
      <c r="G6">
        <f t="shared" ca="1" si="1"/>
        <v>8</v>
      </c>
      <c r="H6" s="19"/>
      <c r="I6" s="6"/>
    </row>
    <row r="7" spans="1:9">
      <c r="A7" s="3">
        <v>3006</v>
      </c>
      <c r="B7" s="4" t="s">
        <v>84</v>
      </c>
      <c r="C7" s="4" t="s">
        <v>83</v>
      </c>
      <c r="D7" s="13">
        <v>78689</v>
      </c>
      <c r="E7" s="5">
        <v>43255</v>
      </c>
      <c r="F7" s="14">
        <f t="shared" ca="1" si="0"/>
        <v>2780</v>
      </c>
      <c r="G7">
        <f t="shared" ca="1" si="1"/>
        <v>7</v>
      </c>
      <c r="H7" s="6"/>
      <c r="I7" s="6"/>
    </row>
    <row r="8" spans="1:9">
      <c r="A8" s="3">
        <v>3007</v>
      </c>
      <c r="B8" s="4" t="s">
        <v>85</v>
      </c>
      <c r="C8" s="4" t="s">
        <v>86</v>
      </c>
      <c r="D8" s="13">
        <v>35960</v>
      </c>
      <c r="E8" s="5">
        <v>43505</v>
      </c>
      <c r="F8" s="14">
        <f t="shared" ca="1" si="0"/>
        <v>2530</v>
      </c>
      <c r="G8">
        <f t="shared" ca="1" si="1"/>
        <v>6</v>
      </c>
      <c r="H8" s="6"/>
      <c r="I8" s="6"/>
    </row>
    <row r="9" spans="1:9">
      <c r="A9" s="3">
        <v>3008</v>
      </c>
      <c r="B9" s="4" t="s">
        <v>87</v>
      </c>
      <c r="C9" s="4" t="s">
        <v>83</v>
      </c>
      <c r="D9" s="13">
        <v>91659</v>
      </c>
      <c r="E9" s="5">
        <v>43755</v>
      </c>
      <c r="F9" s="14">
        <f t="shared" ca="1" si="0"/>
        <v>2280</v>
      </c>
      <c r="G9">
        <f t="shared" ca="1" si="1"/>
        <v>6</v>
      </c>
      <c r="H9" s="24"/>
      <c r="I9" s="6"/>
    </row>
    <row r="10" spans="1:9">
      <c r="A10" s="3">
        <v>3009</v>
      </c>
      <c r="B10" s="4" t="s">
        <v>88</v>
      </c>
      <c r="C10" s="4" t="s">
        <v>83</v>
      </c>
      <c r="D10" s="13">
        <v>90423</v>
      </c>
      <c r="E10" s="5">
        <v>44005</v>
      </c>
      <c r="F10" s="14">
        <f t="shared" ca="1" si="0"/>
        <v>2030</v>
      </c>
      <c r="G10">
        <f t="shared" ca="1" si="1"/>
        <v>5</v>
      </c>
      <c r="H10" s="6"/>
      <c r="I10" s="6"/>
    </row>
    <row r="11" spans="1:9">
      <c r="A11" s="3">
        <v>3010</v>
      </c>
      <c r="B11" s="4" t="s">
        <v>89</v>
      </c>
      <c r="C11" s="4" t="s">
        <v>80</v>
      </c>
      <c r="D11" s="13">
        <v>107877</v>
      </c>
      <c r="E11" s="5">
        <v>44255</v>
      </c>
      <c r="F11" s="14">
        <f t="shared" ca="1" si="0"/>
        <v>1780</v>
      </c>
      <c r="G11">
        <f t="shared" ca="1" si="1"/>
        <v>4</v>
      </c>
      <c r="H11" s="6"/>
      <c r="I11" s="6"/>
    </row>
    <row r="12" spans="1:9">
      <c r="A12" s="3">
        <v>3011</v>
      </c>
      <c r="B12" s="4" t="s">
        <v>90</v>
      </c>
      <c r="C12" s="4" t="s">
        <v>77</v>
      </c>
      <c r="D12" s="13">
        <v>107634</v>
      </c>
      <c r="E12" s="5">
        <v>44505</v>
      </c>
      <c r="F12" s="14">
        <f t="shared" ca="1" si="0"/>
        <v>1530</v>
      </c>
      <c r="G12">
        <f t="shared" ca="1" si="1"/>
        <v>4</v>
      </c>
      <c r="H12" s="6"/>
      <c r="I12" s="6"/>
    </row>
    <row r="13" spans="1:9">
      <c r="A13" s="3">
        <v>3012</v>
      </c>
      <c r="B13" s="4" t="s">
        <v>91</v>
      </c>
      <c r="C13" s="4" t="s">
        <v>77</v>
      </c>
      <c r="D13" s="13">
        <v>35226</v>
      </c>
      <c r="E13" s="5">
        <v>44755</v>
      </c>
      <c r="F13" s="14">
        <f t="shared" ca="1" si="0"/>
        <v>1280</v>
      </c>
      <c r="G13">
        <f t="shared" ca="1" si="1"/>
        <v>3</v>
      </c>
      <c r="H13" s="6"/>
      <c r="I13" s="6"/>
    </row>
    <row r="14" spans="1:9">
      <c r="A14" s="3">
        <v>3013</v>
      </c>
      <c r="B14" s="4" t="s">
        <v>92</v>
      </c>
      <c r="C14" s="4" t="s">
        <v>80</v>
      </c>
      <c r="D14" s="13">
        <v>40872</v>
      </c>
      <c r="E14" s="5">
        <v>45005</v>
      </c>
      <c r="F14" s="14">
        <f t="shared" ca="1" si="0"/>
        <v>1030</v>
      </c>
      <c r="G14">
        <f t="shared" ca="1" si="1"/>
        <v>2</v>
      </c>
      <c r="H14" s="6"/>
      <c r="I14" s="6"/>
    </row>
    <row r="15" spans="1:9">
      <c r="A15" s="3">
        <v>3014</v>
      </c>
      <c r="B15" s="4" t="s">
        <v>93</v>
      </c>
      <c r="C15" s="4" t="s">
        <v>80</v>
      </c>
      <c r="D15" s="13">
        <v>55378</v>
      </c>
      <c r="E15" s="5">
        <v>45255</v>
      </c>
      <c r="F15" s="14">
        <f t="shared" ca="1" si="0"/>
        <v>780</v>
      </c>
      <c r="G15">
        <f t="shared" ca="1" si="1"/>
        <v>2</v>
      </c>
      <c r="H15" s="6"/>
      <c r="I15" s="6"/>
    </row>
    <row r="16" spans="1:9">
      <c r="A16" s="3">
        <v>3015</v>
      </c>
      <c r="B16" s="4" t="s">
        <v>94</v>
      </c>
      <c r="C16" s="4" t="s">
        <v>80</v>
      </c>
      <c r="D16" s="13">
        <v>63297</v>
      </c>
      <c r="E16" s="5">
        <v>45505</v>
      </c>
      <c r="F16" s="14">
        <f t="shared" ca="1" si="0"/>
        <v>530</v>
      </c>
      <c r="G16">
        <f t="shared" ca="1" si="1"/>
        <v>1</v>
      </c>
      <c r="H16" s="6"/>
      <c r="I16" s="6"/>
    </row>
    <row r="17" spans="1:9">
      <c r="A17" s="3">
        <v>3016</v>
      </c>
      <c r="B17" s="4" t="s">
        <v>95</v>
      </c>
      <c r="C17" s="4" t="s">
        <v>77</v>
      </c>
      <c r="D17" s="13">
        <v>114173</v>
      </c>
      <c r="E17" s="5">
        <v>45755</v>
      </c>
      <c r="F17" s="14">
        <f t="shared" ca="1" si="0"/>
        <v>280</v>
      </c>
      <c r="G17">
        <f t="shared" ca="1" si="1"/>
        <v>0</v>
      </c>
      <c r="H17" s="6"/>
      <c r="I17" s="6"/>
    </row>
    <row r="18" spans="1:9">
      <c r="A18" s="3">
        <v>3017</v>
      </c>
      <c r="B18" s="4" t="s">
        <v>96</v>
      </c>
      <c r="C18" s="4" t="s">
        <v>80</v>
      </c>
      <c r="D18" s="13">
        <v>86915</v>
      </c>
      <c r="E18" s="5">
        <v>46005</v>
      </c>
      <c r="F18" s="14">
        <f t="shared" ca="1" si="0"/>
        <v>30</v>
      </c>
      <c r="G18">
        <f t="shared" ca="1" si="1"/>
        <v>0</v>
      </c>
      <c r="H18" s="6"/>
      <c r="I18" s="6"/>
    </row>
    <row r="19" spans="1:9">
      <c r="A19" s="3">
        <v>3018</v>
      </c>
      <c r="B19" s="4" t="s">
        <v>97</v>
      </c>
      <c r="C19" s="4" t="s">
        <v>83</v>
      </c>
      <c r="D19" s="13">
        <v>116284</v>
      </c>
      <c r="E19" s="5">
        <v>46255</v>
      </c>
      <c r="F19" s="14" t="str">
        <f t="shared" ca="1" si="0"/>
        <v>NOT JOINED YET</v>
      </c>
      <c r="G19" t="str">
        <f t="shared" ca="1" si="1"/>
        <v>NOT JOINED YET</v>
      </c>
      <c r="H19" s="6"/>
      <c r="I19" s="6"/>
    </row>
    <row r="20" spans="1:9">
      <c r="A20" s="3">
        <v>3019</v>
      </c>
      <c r="B20" s="4" t="s">
        <v>98</v>
      </c>
      <c r="C20" s="4" t="s">
        <v>86</v>
      </c>
      <c r="D20" s="13">
        <v>116283</v>
      </c>
      <c r="E20" s="5">
        <v>46505</v>
      </c>
      <c r="F20" s="14" t="str">
        <f t="shared" ca="1" si="0"/>
        <v>NOT JOINED YET</v>
      </c>
      <c r="G20" t="str">
        <f t="shared" ca="1" si="1"/>
        <v>NOT JOINED YET</v>
      </c>
      <c r="H20" s="6"/>
      <c r="I20" s="6"/>
    </row>
    <row r="21" spans="1:9">
      <c r="A21" s="3">
        <v>3020</v>
      </c>
      <c r="B21" s="4" t="s">
        <v>99</v>
      </c>
      <c r="C21" s="4" t="s">
        <v>86</v>
      </c>
      <c r="D21" s="13">
        <v>99924</v>
      </c>
      <c r="E21" s="5">
        <v>46755</v>
      </c>
      <c r="F21" s="14" t="str">
        <f t="shared" ca="1" si="0"/>
        <v>NOT JOINED YET</v>
      </c>
      <c r="G21" t="str">
        <f t="shared" ca="1" si="1"/>
        <v>NOT JOINED YET</v>
      </c>
      <c r="H21" s="6"/>
      <c r="I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2026-01-09T03:52:25Z</dcterms:created>
  <dcterms:modified xsi:type="dcterms:W3CDTF">2026-01-13T15:16:11Z</dcterms:modified>
  <cp:category/>
  <cp:contentStatus/>
</cp:coreProperties>
</file>